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pim4S\Cronograma\"/>
    </mc:Choice>
  </mc:AlternateContent>
  <xr:revisionPtr revIDLastSave="0" documentId="13_ncr:1_{28B189BC-77F5-4317-875B-744076C2FF25}" xr6:coauthVersionLast="45" xr6:coauthVersionMax="45" xr10:uidLastSave="{00000000-0000-0000-0000-000000000000}"/>
  <bookViews>
    <workbookView xWindow="-120" yWindow="-120" windowWidth="29040" windowHeight="15990" activeTab="1" xr2:uid="{E9479022-87C9-450B-AC4F-D9BFE02E2DEF}"/>
  </bookViews>
  <sheets>
    <sheet name="Menu" sheetId="1" r:id="rId1"/>
    <sheet name="Cronograma" sheetId="2" r:id="rId2"/>
    <sheet name="Dados" sheetId="4" r:id="rId3"/>
    <sheet name="Configuração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7" i="2" l="1"/>
  <c r="H8" i="2" l="1"/>
  <c r="H3" i="2"/>
  <c r="B3" i="2"/>
  <c r="H9" i="2" l="1"/>
</calcChain>
</file>

<file path=xl/sharedStrings.xml><?xml version="1.0" encoding="utf-8"?>
<sst xmlns="http://schemas.openxmlformats.org/spreadsheetml/2006/main" count="51" uniqueCount="33">
  <si>
    <t>Atividades</t>
  </si>
  <si>
    <t>Data</t>
  </si>
  <si>
    <t>Prioridade</t>
  </si>
  <si>
    <t>Atribuído ao</t>
  </si>
  <si>
    <t>Inicio Estimado</t>
  </si>
  <si>
    <t>Fim Previsto</t>
  </si>
  <si>
    <t>Dias Trabalhados</t>
  </si>
  <si>
    <t>Baixo</t>
  </si>
  <si>
    <t>Médio</t>
  </si>
  <si>
    <t>Alto</t>
  </si>
  <si>
    <t>Muito Alto</t>
  </si>
  <si>
    <t>Gustavo S</t>
  </si>
  <si>
    <t>Vitor B</t>
  </si>
  <si>
    <t>Paulo H</t>
  </si>
  <si>
    <t>João</t>
  </si>
  <si>
    <t>Arthur</t>
  </si>
  <si>
    <t>Todos</t>
  </si>
  <si>
    <t>G, V</t>
  </si>
  <si>
    <t>G, V, P</t>
  </si>
  <si>
    <t>A, J</t>
  </si>
  <si>
    <t>Nomes</t>
  </si>
  <si>
    <t>Nome</t>
  </si>
  <si>
    <t>E-mail</t>
  </si>
  <si>
    <t>RA</t>
  </si>
  <si>
    <t>GitHub</t>
  </si>
  <si>
    <t>Cronograma</t>
  </si>
  <si>
    <t>TeamDev - Area de Atividades</t>
  </si>
  <si>
    <t>Area para inserir Atividades</t>
  </si>
  <si>
    <t>Abertura do Pim</t>
  </si>
  <si>
    <t>Gustavo Silva Rodrigues</t>
  </si>
  <si>
    <t>n3712c3</t>
  </si>
  <si>
    <t>gustavo_rune@hotmil.com</t>
  </si>
  <si>
    <t>Levantamento de Requisitos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</si>
</sst>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3"/>
      <color theme="1"/>
      <name val="Arial"/>
      <family val="2"/>
    </font>
    <font>
      <sz val="13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Arial"/>
      <family val="2"/>
    </font>
    <font>
      <b/>
      <sz val="14"/>
      <color theme="0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theme="8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/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14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10" fillId="0" borderId="0" xfId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9" formatCode="dd/mm/yyyy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0"/>
        <name val="Arial"/>
        <family val="2"/>
        <scheme val="none"/>
      </font>
      <fill>
        <patternFill patternType="solid">
          <fgColor indexed="64"/>
          <bgColor theme="8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dos!A1"/><Relationship Id="rId2" Type="http://schemas.openxmlformats.org/officeDocument/2006/relationships/hyperlink" Target="#Cronograma!A1"/><Relationship Id="rId1" Type="http://schemas.openxmlformats.org/officeDocument/2006/relationships/image" Target="../media/image1.jpg"/><Relationship Id="rId4" Type="http://schemas.openxmlformats.org/officeDocument/2006/relationships/hyperlink" Target="#Configura&#231;&#227;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figura&#231;&#227;o!A1"/><Relationship Id="rId2" Type="http://schemas.openxmlformats.org/officeDocument/2006/relationships/hyperlink" Target="#Dados!A1"/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onfigura&#231;&#227;o!A1"/><Relationship Id="rId2" Type="http://schemas.openxmlformats.org/officeDocument/2006/relationships/hyperlink" Target="#Cronograma!A1"/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ados!A1"/><Relationship Id="rId2" Type="http://schemas.openxmlformats.org/officeDocument/2006/relationships/hyperlink" Target="#Cronograma!A1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442167</xdr:colOff>
      <xdr:row>41</xdr:row>
      <xdr:rowOff>66675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64804F2-B06F-4920-B761-D5FDABDF51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7825292" cy="78771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</xdr:pic>
    <xdr:clientData/>
  </xdr:twoCellAnchor>
  <xdr:twoCellAnchor>
    <xdr:from>
      <xdr:col>6</xdr:col>
      <xdr:colOff>381000</xdr:colOff>
      <xdr:row>34</xdr:row>
      <xdr:rowOff>19050</xdr:rowOff>
    </xdr:from>
    <xdr:to>
      <xdr:col>8</xdr:col>
      <xdr:colOff>400050</xdr:colOff>
      <xdr:row>36</xdr:row>
      <xdr:rowOff>38100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4939EB-98B8-4178-BEB4-0DA7740FB3C8}"/>
            </a:ext>
          </a:extLst>
        </xdr:cNvPr>
        <xdr:cNvSpPr/>
      </xdr:nvSpPr>
      <xdr:spPr>
        <a:xfrm>
          <a:off x="3743325" y="6496050"/>
          <a:ext cx="1238250" cy="4000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</a:p>
      </xdr:txBody>
    </xdr:sp>
    <xdr:clientData/>
  </xdr:twoCellAnchor>
  <xdr:twoCellAnchor>
    <xdr:from>
      <xdr:col>9</xdr:col>
      <xdr:colOff>457200</xdr:colOff>
      <xdr:row>34</xdr:row>
      <xdr:rowOff>28575</xdr:rowOff>
    </xdr:from>
    <xdr:to>
      <xdr:col>11</xdr:col>
      <xdr:colOff>476250</xdr:colOff>
      <xdr:row>36</xdr:row>
      <xdr:rowOff>47625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F9EE37-6231-457F-9B99-B555DF4A9211}"/>
            </a:ext>
          </a:extLst>
        </xdr:cNvPr>
        <xdr:cNvSpPr/>
      </xdr:nvSpPr>
      <xdr:spPr>
        <a:xfrm>
          <a:off x="5648325" y="6505575"/>
          <a:ext cx="1238250" cy="4000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Dados</a:t>
          </a:r>
        </a:p>
      </xdr:txBody>
    </xdr:sp>
    <xdr:clientData/>
  </xdr:twoCellAnchor>
  <xdr:twoCellAnchor>
    <xdr:from>
      <xdr:col>16</xdr:col>
      <xdr:colOff>285750</xdr:colOff>
      <xdr:row>34</xdr:row>
      <xdr:rowOff>9525</xdr:rowOff>
    </xdr:from>
    <xdr:to>
      <xdr:col>18</xdr:col>
      <xdr:colOff>304800</xdr:colOff>
      <xdr:row>36</xdr:row>
      <xdr:rowOff>28575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4F374D6-31EF-4EEA-AF34-9F041EA5C4BF}"/>
            </a:ext>
          </a:extLst>
        </xdr:cNvPr>
        <xdr:cNvSpPr/>
      </xdr:nvSpPr>
      <xdr:spPr>
        <a:xfrm>
          <a:off x="9744075" y="6486525"/>
          <a:ext cx="1238250" cy="4000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E-mail</a:t>
          </a:r>
        </a:p>
      </xdr:txBody>
    </xdr:sp>
    <xdr:clientData/>
  </xdr:twoCellAnchor>
  <xdr:twoCellAnchor>
    <xdr:from>
      <xdr:col>13</xdr:col>
      <xdr:colOff>38099</xdr:colOff>
      <xdr:row>34</xdr:row>
      <xdr:rowOff>9525</xdr:rowOff>
    </xdr:from>
    <xdr:to>
      <xdr:col>15</xdr:col>
      <xdr:colOff>142874</xdr:colOff>
      <xdr:row>36</xdr:row>
      <xdr:rowOff>28575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D60245D-8A04-4DFB-8D1C-3DEAE5E9213A}"/>
            </a:ext>
          </a:extLst>
        </xdr:cNvPr>
        <xdr:cNvSpPr/>
      </xdr:nvSpPr>
      <xdr:spPr>
        <a:xfrm>
          <a:off x="7667624" y="6486525"/>
          <a:ext cx="1323975" cy="40005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2</xdr:row>
      <xdr:rowOff>38100</xdr:rowOff>
    </xdr:from>
    <xdr:to>
      <xdr:col>10</xdr:col>
      <xdr:colOff>190500</xdr:colOff>
      <xdr:row>3</xdr:row>
      <xdr:rowOff>57150</xdr:rowOff>
    </xdr:to>
    <xdr:sp macro="[0]!InserirAtv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79093AC-D580-4759-95C1-BD4003B03C3B}"/>
            </a:ext>
          </a:extLst>
        </xdr:cNvPr>
        <xdr:cNvSpPr/>
      </xdr:nvSpPr>
      <xdr:spPr>
        <a:xfrm>
          <a:off x="9563100" y="609600"/>
          <a:ext cx="1295400" cy="4000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Inserir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8</xdr:col>
      <xdr:colOff>114300</xdr:colOff>
      <xdr:row>3</xdr:row>
      <xdr:rowOff>95250</xdr:rowOff>
    </xdr:from>
    <xdr:to>
      <xdr:col>10</xdr:col>
      <xdr:colOff>190500</xdr:colOff>
      <xdr:row>4</xdr:row>
      <xdr:rowOff>152399</xdr:rowOff>
    </xdr:to>
    <xdr:sp macro="[0]!DeletarAtv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B789FF1-111F-4416-9976-0020CE2FA8BA}"/>
            </a:ext>
          </a:extLst>
        </xdr:cNvPr>
        <xdr:cNvSpPr/>
      </xdr:nvSpPr>
      <xdr:spPr>
        <a:xfrm>
          <a:off x="9563100" y="1095375"/>
          <a:ext cx="1295400" cy="342899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Deletar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10</xdr:col>
      <xdr:colOff>342900</xdr:colOff>
      <xdr:row>1</xdr:row>
      <xdr:rowOff>246541</xdr:rowOff>
    </xdr:from>
    <xdr:to>
      <xdr:col>12</xdr:col>
      <xdr:colOff>361950</xdr:colOff>
      <xdr:row>2</xdr:row>
      <xdr:rowOff>219074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7F557B-8F3B-44EC-90CF-83F10C61D756}"/>
            </a:ext>
          </a:extLst>
        </xdr:cNvPr>
        <xdr:cNvSpPr/>
      </xdr:nvSpPr>
      <xdr:spPr>
        <a:xfrm>
          <a:off x="11010900" y="551341"/>
          <a:ext cx="1238250" cy="35353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10</xdr:col>
      <xdr:colOff>342900</xdr:colOff>
      <xdr:row>2</xdr:row>
      <xdr:rowOff>257175</xdr:rowOff>
    </xdr:from>
    <xdr:to>
      <xdr:col>12</xdr:col>
      <xdr:colOff>361950</xdr:colOff>
      <xdr:row>3</xdr:row>
      <xdr:rowOff>276225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1483B45-013B-46F5-B9EF-81528B0471CA}"/>
            </a:ext>
          </a:extLst>
        </xdr:cNvPr>
        <xdr:cNvSpPr/>
      </xdr:nvSpPr>
      <xdr:spPr>
        <a:xfrm>
          <a:off x="11010900" y="942975"/>
          <a:ext cx="1238250" cy="4000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Dados</a:t>
          </a:r>
        </a:p>
      </xdr:txBody>
    </xdr:sp>
    <xdr:clientData/>
  </xdr:twoCellAnchor>
  <xdr:twoCellAnchor>
    <xdr:from>
      <xdr:col>10</xdr:col>
      <xdr:colOff>352425</xdr:colOff>
      <xdr:row>4</xdr:row>
      <xdr:rowOff>28575</xdr:rowOff>
    </xdr:from>
    <xdr:to>
      <xdr:col>12</xdr:col>
      <xdr:colOff>371475</xdr:colOff>
      <xdr:row>5</xdr:row>
      <xdr:rowOff>57150</xdr:rowOff>
    </xdr:to>
    <xdr:sp macro="" textlink="">
      <xdr:nvSpPr>
        <xdr:cNvPr id="6" name="Retângulo: Cantos Arredondado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AA914F3-5C4E-42EA-B214-26E01770C6D3}"/>
            </a:ext>
          </a:extLst>
        </xdr:cNvPr>
        <xdr:cNvSpPr/>
      </xdr:nvSpPr>
      <xdr:spPr>
        <a:xfrm>
          <a:off x="11020425" y="1314450"/>
          <a:ext cx="1238250" cy="3619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1</xdr:row>
      <xdr:rowOff>304800</xdr:rowOff>
    </xdr:from>
    <xdr:to>
      <xdr:col>7</xdr:col>
      <xdr:colOff>190500</xdr:colOff>
      <xdr:row>2</xdr:row>
      <xdr:rowOff>266700</xdr:rowOff>
    </xdr:to>
    <xdr:sp macro="[0]!inserir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4B00677-B617-4445-8C25-86A2D4BEA3E4}"/>
            </a:ext>
          </a:extLst>
        </xdr:cNvPr>
        <xdr:cNvSpPr/>
      </xdr:nvSpPr>
      <xdr:spPr>
        <a:xfrm>
          <a:off x="8582025" y="495300"/>
          <a:ext cx="1295400" cy="34290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Inserir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5</xdr:col>
      <xdr:colOff>114300</xdr:colOff>
      <xdr:row>3</xdr:row>
      <xdr:rowOff>38100</xdr:rowOff>
    </xdr:from>
    <xdr:to>
      <xdr:col>7</xdr:col>
      <xdr:colOff>190500</xdr:colOff>
      <xdr:row>4</xdr:row>
      <xdr:rowOff>209550</xdr:rowOff>
    </xdr:to>
    <xdr:sp macro="[0]!deletarDad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5B379B0-E3B6-482B-9D0A-6EF461046C06}"/>
            </a:ext>
          </a:extLst>
        </xdr:cNvPr>
        <xdr:cNvSpPr/>
      </xdr:nvSpPr>
      <xdr:spPr>
        <a:xfrm>
          <a:off x="8582025" y="923925"/>
          <a:ext cx="1295400" cy="3619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Deletar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Atividade</a:t>
          </a:r>
        </a:p>
      </xdr:txBody>
    </xdr:sp>
    <xdr:clientData/>
  </xdr:twoCellAnchor>
  <xdr:twoCellAnchor>
    <xdr:from>
      <xdr:col>7</xdr:col>
      <xdr:colOff>314325</xdr:colOff>
      <xdr:row>1</xdr:row>
      <xdr:rowOff>98258</xdr:rowOff>
    </xdr:from>
    <xdr:to>
      <xdr:col>9</xdr:col>
      <xdr:colOff>333375</xdr:colOff>
      <xdr:row>2</xdr:row>
      <xdr:rowOff>29683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D95430-50EF-4C95-81E0-077509BB16B2}"/>
            </a:ext>
          </a:extLst>
        </xdr:cNvPr>
        <xdr:cNvSpPr/>
      </xdr:nvSpPr>
      <xdr:spPr>
        <a:xfrm>
          <a:off x="10001250" y="288758"/>
          <a:ext cx="1238250" cy="312425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7</xdr:col>
      <xdr:colOff>314325</xdr:colOff>
      <xdr:row>2</xdr:row>
      <xdr:rowOff>106549</xdr:rowOff>
    </xdr:from>
    <xdr:to>
      <xdr:col>9</xdr:col>
      <xdr:colOff>333375</xdr:colOff>
      <xdr:row>3</xdr:row>
      <xdr:rowOff>86834</xdr:rowOff>
    </xdr:to>
    <xdr:sp macro="" textlink="">
      <xdr:nvSpPr>
        <xdr:cNvPr id="8" name="Retângulo: Cantos Arredondados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AC484DF-53C0-4061-AB37-C7069B304C1E}"/>
            </a:ext>
          </a:extLst>
        </xdr:cNvPr>
        <xdr:cNvSpPr/>
      </xdr:nvSpPr>
      <xdr:spPr>
        <a:xfrm>
          <a:off x="10001250" y="678049"/>
          <a:ext cx="1238250" cy="29461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</a:p>
      </xdr:txBody>
    </xdr:sp>
    <xdr:clientData/>
  </xdr:twoCellAnchor>
  <xdr:twoCellAnchor>
    <xdr:from>
      <xdr:col>7</xdr:col>
      <xdr:colOff>323850</xdr:colOff>
      <xdr:row>3</xdr:row>
      <xdr:rowOff>167020</xdr:rowOff>
    </xdr:from>
    <xdr:to>
      <xdr:col>9</xdr:col>
      <xdr:colOff>342900</xdr:colOff>
      <xdr:row>4</xdr:row>
      <xdr:rowOff>296383</xdr:rowOff>
    </xdr:to>
    <xdr:sp macro="" textlink="">
      <xdr:nvSpPr>
        <xdr:cNvPr id="9" name="Retângulo: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34DE560-CF8F-4CA7-81AC-4960461F3945}"/>
            </a:ext>
          </a:extLst>
        </xdr:cNvPr>
        <xdr:cNvSpPr/>
      </xdr:nvSpPr>
      <xdr:spPr>
        <a:xfrm>
          <a:off x="10010775" y="1052845"/>
          <a:ext cx="1238250" cy="31986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Configuração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</xdr:row>
      <xdr:rowOff>9525</xdr:rowOff>
    </xdr:from>
    <xdr:to>
      <xdr:col>1</xdr:col>
      <xdr:colOff>809625</xdr:colOff>
      <xdr:row>2</xdr:row>
      <xdr:rowOff>172558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C2A697-9D01-4106-8ACE-E4E26BEED715}"/>
            </a:ext>
          </a:extLst>
        </xdr:cNvPr>
        <xdr:cNvSpPr/>
      </xdr:nvSpPr>
      <xdr:spPr>
        <a:xfrm>
          <a:off x="180975" y="200025"/>
          <a:ext cx="1238250" cy="353533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Menu</a:t>
          </a:r>
        </a:p>
      </xdr:txBody>
    </xdr:sp>
    <xdr:clientData/>
  </xdr:twoCellAnchor>
  <xdr:twoCellAnchor>
    <xdr:from>
      <xdr:col>1</xdr:col>
      <xdr:colOff>857250</xdr:colOff>
      <xdr:row>1</xdr:row>
      <xdr:rowOff>29684</xdr:rowOff>
    </xdr:from>
    <xdr:to>
      <xdr:col>3</xdr:col>
      <xdr:colOff>295275</xdr:colOff>
      <xdr:row>2</xdr:row>
      <xdr:rowOff>172559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30E8A0E-7EA5-4F1C-A3AF-5F0E615727E1}"/>
            </a:ext>
          </a:extLst>
        </xdr:cNvPr>
        <xdr:cNvSpPr/>
      </xdr:nvSpPr>
      <xdr:spPr>
        <a:xfrm>
          <a:off x="1466850" y="220184"/>
          <a:ext cx="1238250" cy="333375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</a:p>
      </xdr:txBody>
    </xdr:sp>
    <xdr:clientData/>
  </xdr:twoCellAnchor>
  <xdr:twoCellAnchor>
    <xdr:from>
      <xdr:col>3</xdr:col>
      <xdr:colOff>342900</xdr:colOff>
      <xdr:row>1</xdr:row>
      <xdr:rowOff>10634</xdr:rowOff>
    </xdr:from>
    <xdr:to>
      <xdr:col>5</xdr:col>
      <xdr:colOff>361950</xdr:colOff>
      <xdr:row>2</xdr:row>
      <xdr:rowOff>182084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9359CFF-7480-4CC9-96EF-87EAB659EC04}"/>
            </a:ext>
          </a:extLst>
        </xdr:cNvPr>
        <xdr:cNvSpPr/>
      </xdr:nvSpPr>
      <xdr:spPr>
        <a:xfrm>
          <a:off x="2752725" y="201134"/>
          <a:ext cx="1238250" cy="361950"/>
        </a:xfrm>
        <a:prstGeom prst="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Dados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7E68CF-F11D-4CC1-A124-44AB660E238C}" name="Tabela1" displayName="Tabela1" ref="B6:H9" totalsRowShown="0" headerRowDxfId="13" dataDxfId="12">
  <autoFilter ref="B6:H9" xr:uid="{1632174A-E3C6-41A8-82DA-712993D1443A}"/>
  <sortState ref="B7:H9">
    <sortCondition descending="1" ref="B6:B9"/>
  </sortState>
  <tableColumns count="7">
    <tableColumn id="1" xr3:uid="{FC6A3275-4053-49CD-96D1-9E3DF53132BA}" name="Data" dataDxfId="11"/>
    <tableColumn id="2" xr3:uid="{52CFD1B0-C688-47A4-B80A-3558C028F76D}" name="Atividades" dataDxfId="10"/>
    <tableColumn id="3" xr3:uid="{DE3B842E-36F6-4D14-9349-52C9347A9D0D}" name="Prioridade" dataDxfId="9"/>
    <tableColumn id="4" xr3:uid="{2D82BA71-D14F-4ADC-95F7-5657D1284136}" name="Atribuído ao" dataDxfId="8"/>
    <tableColumn id="5" xr3:uid="{15ACE124-AD48-4E97-B681-F3E67AAC02C6}" name="Inicio Estimado" dataDxfId="7">
      <calculatedColumnFormula>Tabela1[[#This Row],[Data]]</calculatedColumnFormula>
    </tableColumn>
    <tableColumn id="6" xr3:uid="{7FD0984F-9F4C-4561-A5BD-0E40D79BF5BF}" name="Fim Previsto" dataDxfId="6">
      <calculatedColumnFormula>Tabela1[[#This Row],[Inicio Estimado]]+1</calculatedColumnFormula>
    </tableColumn>
    <tableColumn id="7" xr3:uid="{B6746DAD-E88F-4598-8B2C-5222B4E8D70D}" name="Dias Trabalhados" dataDxfId="5">
      <calculatedColumnFormula>Tabela1[[#This Row],[Fim Previsto]]-Tabela1[[#This Row],[Inicio Estimado]]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8A829B3-E322-4887-8352-9E37F9E6B6D3}" name="Tabela4" displayName="Tabela4" ref="B5:E6" totalsRowShown="0" headerRowDxfId="4">
  <autoFilter ref="B5:E6" xr:uid="{07E7339A-64BF-4F8A-9166-E4150E1E0D77}"/>
  <tableColumns count="4">
    <tableColumn id="1" xr3:uid="{C9B1FD25-F9D2-41CB-83AA-097AC73F54D3}" name="Nome"/>
    <tableColumn id="2" xr3:uid="{02FB79C2-5275-42FC-8F2A-0B97C6B8D146}" name="RA"/>
    <tableColumn id="3" xr3:uid="{F88B9212-209D-4B2B-BAFC-EA78545D3163}" name="E-mail"/>
    <tableColumn id="4" xr3:uid="{DC50668E-A43C-4C83-A047-0AA8E389D09B}" name="GitHub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26C0F45-A4CD-4037-B58D-8B58790DD956}" name="Tabela2" displayName="Tabela2" ref="B5:C14" totalsRowShown="0" headerRowDxfId="3" dataDxfId="2">
  <autoFilter ref="B5:C14" xr:uid="{49C01574-66CC-459E-92DF-4CEE9EECD41F}"/>
  <tableColumns count="2">
    <tableColumn id="1" xr3:uid="{6DAC14DA-896B-4058-8079-6541A5E9CC2A}" name="Prioridade" dataDxfId="1"/>
    <tableColumn id="2" xr3:uid="{42BA002D-8063-4C24-AADB-79B790016B9B}" name="Nomes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hyperlink" Target="mailto:gustavo_rune@hotmil.co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E7B17-2372-488E-8C2B-AE4082E65F77}">
  <sheetPr codeName="Planilha1"/>
  <dimension ref="A1"/>
  <sheetViews>
    <sheetView workbookViewId="0">
      <pane xSplit="29" ySplit="38" topLeftCell="AD39" activePane="bottomRight" state="frozen"/>
      <selection pane="topRight" activeCell="AD1" sqref="AD1"/>
      <selection pane="bottomLeft" activeCell="A39" sqref="A39"/>
      <selection pane="bottomRight" activeCell="AD39" sqref="AD39"/>
    </sheetView>
  </sheetViews>
  <sheetFormatPr defaultRowHeight="15" x14ac:dyDescent="0.25"/>
  <cols>
    <col min="1" max="1" width="4.7109375" customWidth="1"/>
  </cols>
  <sheetData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1D79-0E06-4D5B-AFC7-1F01B584DC50}">
  <sheetPr codeName="Planilha2"/>
  <dimension ref="B1:M30"/>
  <sheetViews>
    <sheetView tabSelected="1" workbookViewId="0">
      <pane ySplit="6" topLeftCell="A7" activePane="bottomLeft" state="frozen"/>
      <selection pane="bottomLeft"/>
    </sheetView>
  </sheetViews>
  <sheetFormatPr defaultRowHeight="15" x14ac:dyDescent="0.25"/>
  <cols>
    <col min="1" max="1" width="4.7109375" customWidth="1"/>
    <col min="2" max="2" width="13.7109375" customWidth="1"/>
    <col min="3" max="4" width="17.42578125" bestFit="1" customWidth="1"/>
    <col min="5" max="5" width="19.7109375" bestFit="1" customWidth="1"/>
    <col min="6" max="6" width="23.140625" bestFit="1" customWidth="1"/>
    <col min="7" max="7" width="20" bestFit="1" customWidth="1"/>
    <col min="8" max="8" width="25.5703125" bestFit="1" customWidth="1"/>
  </cols>
  <sheetData>
    <row r="1" spans="2:13" ht="24" customHeight="1" x14ac:dyDescent="0.25">
      <c r="B1" s="21" t="s">
        <v>27</v>
      </c>
      <c r="C1" s="21"/>
      <c r="D1" s="21"/>
      <c r="E1" s="21"/>
      <c r="F1" s="21"/>
      <c r="G1" s="21"/>
      <c r="H1" s="21"/>
    </row>
    <row r="2" spans="2:13" ht="30" customHeight="1" x14ac:dyDescent="0.25">
      <c r="B2" s="6" t="s">
        <v>1</v>
      </c>
      <c r="C2" s="7" t="s">
        <v>0</v>
      </c>
      <c r="D2" s="7" t="s">
        <v>2</v>
      </c>
      <c r="E2" s="7" t="s">
        <v>3</v>
      </c>
      <c r="F2" s="7" t="s">
        <v>4</v>
      </c>
      <c r="G2" s="7" t="s">
        <v>5</v>
      </c>
      <c r="H2" s="8" t="s">
        <v>6</v>
      </c>
      <c r="I2" s="5"/>
      <c r="J2" s="5"/>
      <c r="K2" s="5"/>
      <c r="L2" s="5"/>
      <c r="M2" s="5"/>
    </row>
    <row r="3" spans="2:13" ht="30" customHeight="1" x14ac:dyDescent="0.25">
      <c r="B3" s="13">
        <f ca="1">TODAY()</f>
        <v>43783</v>
      </c>
      <c r="C3" s="14"/>
      <c r="D3" s="15"/>
      <c r="E3" s="15"/>
      <c r="F3" s="13"/>
      <c r="G3" s="13"/>
      <c r="H3" s="15">
        <f>G3-F3</f>
        <v>0</v>
      </c>
      <c r="I3" s="5"/>
      <c r="J3" s="5"/>
      <c r="K3" s="5"/>
      <c r="L3" s="5"/>
      <c r="M3" s="5"/>
    </row>
    <row r="4" spans="2:13" ht="22.5" customHeight="1" x14ac:dyDescent="0.25">
      <c r="I4" s="5"/>
      <c r="J4" s="5"/>
      <c r="K4" s="5"/>
      <c r="L4" s="5"/>
      <c r="M4" s="5"/>
    </row>
    <row r="5" spans="2:13" ht="26.25" customHeight="1" x14ac:dyDescent="0.25">
      <c r="B5" s="20" t="s">
        <v>26</v>
      </c>
      <c r="C5" s="20"/>
      <c r="D5" s="20"/>
      <c r="E5" s="20"/>
      <c r="F5" s="20"/>
      <c r="G5" s="20"/>
      <c r="H5" s="20"/>
      <c r="I5" s="5"/>
      <c r="J5" s="5"/>
      <c r="K5" s="5"/>
      <c r="L5" s="5"/>
      <c r="M5" s="5"/>
    </row>
    <row r="6" spans="2:13" ht="24.95" customHeight="1" x14ac:dyDescent="0.25">
      <c r="B6" s="3" t="s">
        <v>1</v>
      </c>
      <c r="C6" s="3" t="s">
        <v>0</v>
      </c>
      <c r="D6" s="3" t="s">
        <v>2</v>
      </c>
      <c r="E6" s="3" t="s">
        <v>3</v>
      </c>
      <c r="F6" s="3" t="s">
        <v>4</v>
      </c>
      <c r="G6" s="3" t="s">
        <v>5</v>
      </c>
      <c r="H6" s="3" t="s">
        <v>6</v>
      </c>
      <c r="I6" s="5"/>
      <c r="J6" s="5"/>
      <c r="K6" s="5"/>
      <c r="L6" s="5"/>
      <c r="M6" s="5"/>
    </row>
    <row r="7" spans="2:13" ht="30" customHeight="1" x14ac:dyDescent="0.25">
      <c r="B7" s="13">
        <v>43712</v>
      </c>
      <c r="C7" s="14" t="s">
        <v>32</v>
      </c>
      <c r="D7" s="15" t="s">
        <v>9</v>
      </c>
      <c r="E7" s="15" t="s">
        <v>14</v>
      </c>
      <c r="F7" s="13">
        <v>43712</v>
      </c>
      <c r="G7" s="13">
        <v>43717</v>
      </c>
      <c r="H7" s="15">
        <f>G7-F7</f>
        <v>5</v>
      </c>
    </row>
    <row r="8" spans="2:13" ht="30" customHeight="1" x14ac:dyDescent="0.25">
      <c r="B8" s="13">
        <v>43710</v>
      </c>
      <c r="C8" s="14" t="s">
        <v>28</v>
      </c>
      <c r="D8" s="15" t="s">
        <v>9</v>
      </c>
      <c r="E8" s="15" t="s">
        <v>16</v>
      </c>
      <c r="F8" s="13">
        <v>43700</v>
      </c>
      <c r="G8" s="13">
        <v>43799</v>
      </c>
      <c r="H8" s="15">
        <f>G8-F8</f>
        <v>99</v>
      </c>
    </row>
    <row r="9" spans="2:13" ht="30" customHeight="1" x14ac:dyDescent="0.25">
      <c r="B9" s="9">
        <v>43706</v>
      </c>
      <c r="C9" s="10" t="s">
        <v>25</v>
      </c>
      <c r="D9" s="10" t="s">
        <v>10</v>
      </c>
      <c r="E9" s="10" t="s">
        <v>11</v>
      </c>
      <c r="F9" s="9">
        <v>43706</v>
      </c>
      <c r="G9" s="9">
        <v>43799</v>
      </c>
      <c r="H9" s="11">
        <f>Tabela1[[#This Row],[Fim Previsto]]-Tabela1[[#This Row],[Inicio Estimado]]</f>
        <v>93</v>
      </c>
    </row>
    <row r="10" spans="2:13" ht="30" customHeight="1" x14ac:dyDescent="0.25"/>
    <row r="11" spans="2:13" ht="30" customHeight="1" x14ac:dyDescent="0.25"/>
    <row r="12" spans="2:13" ht="30" customHeight="1" x14ac:dyDescent="0.25"/>
    <row r="13" spans="2:13" ht="30" customHeight="1" x14ac:dyDescent="0.25"/>
    <row r="14" spans="2:13" ht="30" customHeight="1" x14ac:dyDescent="0.25"/>
    <row r="15" spans="2:13" ht="30" customHeight="1" x14ac:dyDescent="0.25"/>
    <row r="16" spans="2:13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</sheetData>
  <sheetProtection formatCells="0"/>
  <mergeCells count="2">
    <mergeCell ref="B5:H5"/>
    <mergeCell ref="B1:H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512FC94A-0B92-445B-B54D-44FFBB3A734A}">
          <x14:formula1>
            <xm:f>Configuração!$B$6:$B$9</xm:f>
          </x14:formula1>
          <xm:sqref>D3 D7:D9</xm:sqref>
        </x14:dataValidation>
        <x14:dataValidation type="list" allowBlank="1" showInputMessage="1" showErrorMessage="1" xr:uid="{D67CE02A-1D41-4D69-9D98-DE46AF04FBBD}">
          <x14:formula1>
            <xm:f>Configuração!$C$6:$C$14</xm:f>
          </x14:formula1>
          <xm:sqref>E3 E7:E9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4F141-8069-4FFF-B457-2E22909AF488}">
  <sheetPr codeName="Planilha3"/>
  <dimension ref="B2:E11"/>
  <sheetViews>
    <sheetView zoomScaleNormal="100" workbookViewId="0">
      <pane ySplit="5" topLeftCell="A6" activePane="bottomLeft" state="frozen"/>
      <selection pane="bottomLeft" activeCell="D10" sqref="D10"/>
    </sheetView>
  </sheetViews>
  <sheetFormatPr defaultRowHeight="15" x14ac:dyDescent="0.25"/>
  <cols>
    <col min="2" max="2" width="35.7109375" customWidth="1"/>
    <col min="3" max="3" width="10.7109375" customWidth="1"/>
    <col min="4" max="5" width="35.7109375" customWidth="1"/>
  </cols>
  <sheetData>
    <row r="2" spans="2:5" ht="30" customHeight="1" thickBot="1" x14ac:dyDescent="0.3">
      <c r="B2" s="16" t="s">
        <v>21</v>
      </c>
      <c r="C2" s="17" t="s">
        <v>23</v>
      </c>
      <c r="D2" s="17" t="s">
        <v>22</v>
      </c>
      <c r="E2" s="18" t="s">
        <v>24</v>
      </c>
    </row>
    <row r="3" spans="2:5" s="1" customFormat="1" ht="24.95" customHeight="1" thickTop="1" x14ac:dyDescent="0.2">
      <c r="B3" s="12"/>
      <c r="C3" s="12"/>
      <c r="D3" s="12"/>
      <c r="E3" s="12"/>
    </row>
    <row r="5" spans="2:5" ht="24.95" customHeight="1" x14ac:dyDescent="0.25">
      <c r="B5" s="4" t="s">
        <v>21</v>
      </c>
      <c r="C5" s="4" t="s">
        <v>23</v>
      </c>
      <c r="D5" s="4" t="s">
        <v>22</v>
      </c>
      <c r="E5" s="4" t="s">
        <v>24</v>
      </c>
    </row>
    <row r="6" spans="2:5" ht="24.95" customHeight="1" x14ac:dyDescent="0.25">
      <c r="B6" s="12" t="s">
        <v>29</v>
      </c>
      <c r="C6" s="12" t="s">
        <v>30</v>
      </c>
      <c r="D6" s="19" t="s">
        <v>31</v>
      </c>
      <c r="E6" s="12"/>
    </row>
    <row r="7" spans="2:5" ht="24.95" customHeight="1" x14ac:dyDescent="0.25"/>
    <row r="8" spans="2:5" ht="24.95" customHeight="1" x14ac:dyDescent="0.25"/>
    <row r="9" spans="2:5" ht="24.95" customHeight="1" x14ac:dyDescent="0.25"/>
    <row r="10" spans="2:5" ht="24.95" customHeight="1" x14ac:dyDescent="0.25"/>
    <row r="11" spans="2:5" ht="24.95" customHeight="1" x14ac:dyDescent="0.25"/>
  </sheetData>
  <phoneticPr fontId="9" type="noConversion"/>
  <hyperlinks>
    <hyperlink ref="D6" r:id="rId1" xr:uid="{1C88CA62-66FF-47B3-B9E4-97C5D00E7BEB}"/>
  </hyperlinks>
  <pageMargins left="0.511811024" right="0.511811024" top="0.78740157499999996" bottom="0.78740157499999996" header="0.31496062000000002" footer="0.31496062000000002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D0B6C-7C7A-4B45-8EB5-5969BE65D0D3}">
  <sheetPr codeName="Planilha4"/>
  <dimension ref="B5:C19"/>
  <sheetViews>
    <sheetView workbookViewId="0">
      <pane ySplit="5" topLeftCell="A6" activePane="bottomLeft" state="frozen"/>
      <selection pane="bottomLeft" activeCell="I12" sqref="I12"/>
    </sheetView>
  </sheetViews>
  <sheetFormatPr defaultRowHeight="15" x14ac:dyDescent="0.25"/>
  <cols>
    <col min="2" max="2" width="15.140625" bestFit="1" customWidth="1"/>
    <col min="3" max="3" width="11.85546875" bestFit="1" customWidth="1"/>
  </cols>
  <sheetData>
    <row r="5" spans="2:3" ht="16.5" x14ac:dyDescent="0.25">
      <c r="B5" s="2" t="s">
        <v>2</v>
      </c>
      <c r="C5" s="2" t="s">
        <v>20</v>
      </c>
    </row>
    <row r="6" spans="2:3" ht="16.5" x14ac:dyDescent="0.25">
      <c r="B6" s="2" t="s">
        <v>7</v>
      </c>
      <c r="C6" s="2" t="s">
        <v>11</v>
      </c>
    </row>
    <row r="7" spans="2:3" ht="16.5" x14ac:dyDescent="0.25">
      <c r="B7" s="2" t="s">
        <v>8</v>
      </c>
      <c r="C7" s="2" t="s">
        <v>12</v>
      </c>
    </row>
    <row r="8" spans="2:3" ht="16.5" x14ac:dyDescent="0.25">
      <c r="B8" s="2" t="s">
        <v>9</v>
      </c>
      <c r="C8" s="2" t="s">
        <v>13</v>
      </c>
    </row>
    <row r="9" spans="2:3" ht="16.5" x14ac:dyDescent="0.25">
      <c r="B9" s="2" t="s">
        <v>10</v>
      </c>
      <c r="C9" s="2" t="s">
        <v>14</v>
      </c>
    </row>
    <row r="10" spans="2:3" ht="16.5" x14ac:dyDescent="0.25">
      <c r="B10" s="2"/>
      <c r="C10" s="2" t="s">
        <v>15</v>
      </c>
    </row>
    <row r="11" spans="2:3" ht="16.5" x14ac:dyDescent="0.25">
      <c r="B11" s="2"/>
      <c r="C11" s="2" t="s">
        <v>16</v>
      </c>
    </row>
    <row r="12" spans="2:3" ht="16.5" x14ac:dyDescent="0.25">
      <c r="B12" s="2"/>
      <c r="C12" s="2" t="s">
        <v>17</v>
      </c>
    </row>
    <row r="13" spans="2:3" ht="16.5" x14ac:dyDescent="0.25">
      <c r="B13" s="2"/>
      <c r="C13" s="2" t="s">
        <v>18</v>
      </c>
    </row>
    <row r="14" spans="2:3" ht="16.5" x14ac:dyDescent="0.25">
      <c r="B14" s="2"/>
      <c r="C14" s="2" t="s">
        <v>19</v>
      </c>
    </row>
    <row r="15" spans="2:3" ht="16.5" x14ac:dyDescent="0.25">
      <c r="B15" s="2"/>
      <c r="C15" s="2"/>
    </row>
    <row r="16" spans="2:3" ht="16.5" x14ac:dyDescent="0.25">
      <c r="B16" s="2"/>
      <c r="C16" s="2"/>
    </row>
    <row r="17" spans="2:3" ht="16.5" x14ac:dyDescent="0.25">
      <c r="B17" s="2"/>
      <c r="C17" s="2"/>
    </row>
    <row r="18" spans="2:3" ht="16.5" x14ac:dyDescent="0.25">
      <c r="B18" s="2"/>
      <c r="C18" s="2"/>
    </row>
    <row r="19" spans="2:3" ht="16.5" x14ac:dyDescent="0.25">
      <c r="B19" s="2"/>
      <c r="C19" s="2"/>
    </row>
  </sheetData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Cronograma</vt:lpstr>
      <vt:lpstr>Dados</vt:lpstr>
      <vt:lpstr>Configuração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2019-08-29T21:58:46Z</dcterms:created>
  <dcterms:modified xsi:type="dcterms:W3CDTF">2019-11-14T21:57:31Z</dcterms:modified>
</cp:coreProperties>
</file>